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azley-my.sharepoint.com/personal/elene_bogaert_beazley_com/Documents/Desktop/AON CyQu/"/>
    </mc:Choice>
  </mc:AlternateContent>
  <xr:revisionPtr revIDLastSave="9" documentId="8_{3E4D7FB8-7D49-4AFF-918B-B97D9A7AECE3}" xr6:coauthVersionLast="47" xr6:coauthVersionMax="47" xr10:uidLastSave="{2395BA29-F168-4A3D-9172-EB27B2A37DC6}"/>
  <bookViews>
    <workbookView xWindow="-98" yWindow="-98" windowWidth="21795" windowHeight="13875" xr2:uid="{96F8E627-F6E8-4DA1-A4CD-826A8C86717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F11" i="1"/>
  <c r="D12" i="1"/>
  <c r="D11" i="1"/>
  <c r="J10" i="1"/>
  <c r="H10" i="1"/>
  <c r="H9" i="1"/>
  <c r="F7" i="1"/>
  <c r="F8" i="1"/>
  <c r="F9" i="1"/>
  <c r="F10" i="1"/>
  <c r="F6" i="1"/>
  <c r="D7" i="1"/>
  <c r="D8" i="1"/>
  <c r="D9" i="1"/>
  <c r="D10" i="1"/>
  <c r="D6" i="1"/>
  <c r="B7" i="1"/>
  <c r="B8" i="1"/>
  <c r="B9" i="1"/>
  <c r="B6" i="1"/>
  <c r="J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tc={63A93D44-536E-445E-9CA7-EE5FA671E25C}</author>
    <author>tc={79A73608-0F43-4133-BE8A-5CFA55BC557C}</author>
    <author>tc={74052F56-50CB-4578-AF4A-0DA6423DF706}</author>
  </authors>
  <commentList>
    <comment ref="B6" authorId="0" shapeId="0" xr:uid="{63A93D44-536E-445E-9CA7-EE5FA671E25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Competition is at 700.</t>
      </text>
    </comment>
    <comment ref="L10" authorId="1" shapeId="0" xr:uid="{79A73608-0F43-4133-BE8A-5CFA55BC557C}">
      <text>
        <t>[Threaded comment]
Your version of Excel allows you to read this threaded comment; however, any edits to it will get removed if the file is opened in a newer version of Excel. Learn more: https://go.microsoft.com/fwlink/?linkid=870924
Comment:
    On referral basis</t>
      </text>
    </comment>
    <comment ref="N10" authorId="2" shapeId="0" xr:uid="{74052F56-50CB-4578-AF4A-0DA6423DF706}">
      <text>
        <t>[Threaded comment]
Your version of Excel allows you to read this threaded comment; however, any edits to it will get removed if the file is opened in a newer version of Excel. Learn more: https://go.microsoft.com/fwlink/?linkid=870924
Comment:
    On referral basis</t>
      </text>
    </comment>
  </commentList>
</comments>
</file>

<file path=xl/sharedStrings.xml><?xml version="1.0" encoding="utf-8"?>
<sst xmlns="http://schemas.openxmlformats.org/spreadsheetml/2006/main" count="85" uniqueCount="24">
  <si>
    <t>LOL 250 000 EUR</t>
  </si>
  <si>
    <t>LOL 500 000 EUR</t>
  </si>
  <si>
    <t>LOL 1 000 000 EUR</t>
  </si>
  <si>
    <t>LOL 2 000 000 EUR</t>
  </si>
  <si>
    <t>LOL 3 000 000 EUR</t>
  </si>
  <si>
    <t>LOL 4 000 000 EUR</t>
  </si>
  <si>
    <t>LOL 5 000 000 EUR</t>
  </si>
  <si>
    <t>Turnover</t>
  </si>
  <si>
    <t>Price</t>
  </si>
  <si>
    <t>Retention</t>
  </si>
  <si>
    <t>Up to 1 000 000 EUR</t>
  </si>
  <si>
    <t>NA</t>
  </si>
  <si>
    <t>Up to 5 000 000 EUR</t>
  </si>
  <si>
    <t xml:space="preserve">Up to 10 000 000 EUR </t>
  </si>
  <si>
    <t xml:space="preserve">Up to 25 000 000 EUR </t>
  </si>
  <si>
    <t xml:space="preserve">Up to 50 000 000 EUR </t>
  </si>
  <si>
    <t xml:space="preserve">Up to 75 000 000 EUR </t>
  </si>
  <si>
    <t xml:space="preserve">Up to 100 000 000 EUR </t>
  </si>
  <si>
    <t xml:space="preserve">Up to 150 000 000 EUR </t>
  </si>
  <si>
    <t xml:space="preserve">Up to 200 000 000 EUR </t>
  </si>
  <si>
    <t xml:space="preserve">Up to 250 000 000 EUR </t>
  </si>
  <si>
    <t>commission:</t>
  </si>
  <si>
    <t>Up to 50Mn</t>
  </si>
  <si>
    <t>Above 50Mn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</si>
</sst>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  <charset val="238"/>
    </font>
    <font>
      <b/>
      <sz val="11"/>
      <color rgb="FFFFFFFF"/>
      <name val="Arial"/>
      <family val="2"/>
      <charset val="238"/>
    </font>
    <font>
      <b/>
      <sz val="11"/>
      <color rgb="FF002060"/>
      <name val="Arial"/>
      <family val="2"/>
      <charset val="238"/>
    </font>
    <font>
      <b/>
      <sz val="11"/>
      <color rgb="FFFF0000"/>
      <name val="Arial"/>
      <family val="2"/>
      <charset val="238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1C5E8"/>
        <bgColor indexed="64"/>
      </patternFill>
    </fill>
    <fill>
      <patternFill patternType="solid">
        <fgColor rgb="FFC6E8F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/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/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1" applyFill="1"/>
    <xf numFmtId="0" fontId="2" fillId="3" borderId="1" xfId="1" applyFont="1" applyFill="1" applyBorder="1" applyAlignment="1">
      <alignment horizontal="left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 indent="4"/>
    </xf>
    <xf numFmtId="0" fontId="3" fillId="4" borderId="7" xfId="1" applyFont="1" applyFill="1" applyBorder="1" applyAlignment="1">
      <alignment horizontal="right" vertical="center"/>
    </xf>
    <xf numFmtId="0" fontId="3" fillId="0" borderId="8" xfId="1" applyFont="1" applyBorder="1" applyAlignment="1">
      <alignment horizontal="left" vertical="center"/>
    </xf>
    <xf numFmtId="43" fontId="3" fillId="0" borderId="9" xfId="2" applyFont="1" applyFill="1" applyBorder="1" applyAlignment="1">
      <alignment horizontal="left" vertical="center"/>
    </xf>
    <xf numFmtId="43" fontId="3" fillId="0" borderId="10" xfId="2" applyFont="1" applyFill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43" fontId="3" fillId="0" borderId="6" xfId="2" applyFont="1" applyFill="1" applyBorder="1" applyAlignment="1">
      <alignment horizontal="left" vertical="center"/>
    </xf>
    <xf numFmtId="43" fontId="3" fillId="0" borderId="12" xfId="2" applyFont="1" applyFill="1" applyBorder="1" applyAlignment="1">
      <alignment horizontal="left" vertical="center"/>
    </xf>
    <xf numFmtId="43" fontId="3" fillId="0" borderId="6" xfId="2" applyFont="1" applyBorder="1" applyAlignment="1">
      <alignment horizontal="left" vertical="center"/>
    </xf>
    <xf numFmtId="43" fontId="3" fillId="0" borderId="12" xfId="2" applyFont="1" applyBorder="1" applyAlignment="1">
      <alignment horizontal="left" vertical="center"/>
    </xf>
    <xf numFmtId="43" fontId="4" fillId="5" borderId="6" xfId="2" applyFont="1" applyFill="1" applyBorder="1" applyAlignment="1">
      <alignment horizontal="right" vertical="center"/>
    </xf>
    <xf numFmtId="43" fontId="3" fillId="0" borderId="6" xfId="2" applyFont="1" applyBorder="1" applyAlignment="1">
      <alignment horizontal="right" vertical="center"/>
    </xf>
    <xf numFmtId="43" fontId="3" fillId="0" borderId="12" xfId="2" applyFont="1" applyBorder="1" applyAlignment="1">
      <alignment horizontal="right" vertical="center"/>
    </xf>
    <xf numFmtId="0" fontId="3" fillId="0" borderId="13" xfId="1" applyFont="1" applyBorder="1" applyAlignment="1">
      <alignment horizontal="left" vertical="center"/>
    </xf>
    <xf numFmtId="43" fontId="3" fillId="0" borderId="14" xfId="2" applyFont="1" applyFill="1" applyBorder="1" applyAlignment="1">
      <alignment horizontal="right" vertical="center"/>
    </xf>
    <xf numFmtId="0" fontId="3" fillId="0" borderId="5" xfId="1" applyFont="1" applyBorder="1" applyAlignment="1">
      <alignment horizontal="left" vertical="center"/>
    </xf>
    <xf numFmtId="43" fontId="3" fillId="0" borderId="6" xfId="2" applyFont="1" applyFill="1" applyBorder="1" applyAlignment="1">
      <alignment horizontal="right" vertical="center"/>
    </xf>
    <xf numFmtId="43" fontId="4" fillId="6" borderId="6" xfId="2" applyFont="1" applyFill="1" applyBorder="1" applyAlignment="1">
      <alignment horizontal="left" vertical="center"/>
    </xf>
    <xf numFmtId="43" fontId="4" fillId="6" borderId="6" xfId="2" applyFont="1" applyFill="1" applyBorder="1" applyAlignment="1">
      <alignment horizontal="right" vertical="center"/>
    </xf>
    <xf numFmtId="0" fontId="3" fillId="0" borderId="15" xfId="1" applyFont="1" applyBorder="1" applyAlignment="1">
      <alignment horizontal="left" vertical="center"/>
    </xf>
    <xf numFmtId="43" fontId="3" fillId="0" borderId="16" xfId="2" applyFont="1" applyFill="1" applyBorder="1" applyAlignment="1">
      <alignment horizontal="right" vertical="center"/>
    </xf>
    <xf numFmtId="43" fontId="4" fillId="5" borderId="16" xfId="2" applyFont="1" applyFill="1" applyBorder="1" applyAlignment="1">
      <alignment horizontal="left" vertical="center"/>
    </xf>
    <xf numFmtId="43" fontId="4" fillId="6" borderId="16" xfId="2" applyFont="1" applyFill="1" applyBorder="1" applyAlignment="1">
      <alignment horizontal="left" vertical="center"/>
    </xf>
    <xf numFmtId="43" fontId="4" fillId="5" borderId="6" xfId="2" applyFont="1" applyFill="1" applyBorder="1" applyAlignment="1">
      <alignment horizontal="left" vertical="center"/>
    </xf>
    <xf numFmtId="43" fontId="4" fillId="5" borderId="16" xfId="2" applyFont="1" applyFill="1" applyBorder="1" applyAlignment="1">
      <alignment horizontal="right" vertical="center"/>
    </xf>
    <xf numFmtId="43" fontId="4" fillId="6" borderId="16" xfId="2" applyFont="1" applyFill="1" applyBorder="1" applyAlignment="1">
      <alignment horizontal="right" vertical="center"/>
    </xf>
    <xf numFmtId="0" fontId="3" fillId="0" borderId="0" xfId="1" applyFont="1" applyFill="1" applyBorder="1" applyAlignment="1">
      <alignment horizontal="left" vertical="center"/>
    </xf>
    <xf numFmtId="9" fontId="0" fillId="0" borderId="0" xfId="0" applyNumberFormat="1"/>
  </cellXfs>
  <cellStyles count="3">
    <cellStyle name="Comma 2" xfId="2" xr:uid="{BC0F5CAD-9349-43D4-BB6D-33218E95F145}"/>
    <cellStyle name="Normal" xfId="0" builtinId="0"/>
    <cellStyle name="Normal 2" xfId="1" xr:uid="{95548DCA-6B70-4A7C-A9DB-27A0203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eazley-my.sharepoint.com/personal/elene_bogaert_beazley_com/Documents/Desktop/AON%20SPS%20Belgium/Reviewed%20Pricing%20Matrix%20by%20MSE%20-%2002.03.2026.xlsx" TargetMode="External"/><Relationship Id="rId1" Type="http://schemas.openxmlformats.org/officeDocument/2006/relationships/externalLinkPath" Target="/personal/elene_bogaert_beazley_com/Documents/Desktop/AON%20SPS%20Belgium/Reviewed%20Pricing%20Matrix%20by%20MSE%20-%2002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ss premiums"/>
      <sheetName val="Comparison CQI net"/>
      <sheetName val="Final net proposal"/>
    </sheetNames>
    <sheetDataSet>
      <sheetData sheetId="0">
        <row r="6">
          <cell r="B6">
            <v>750</v>
          </cell>
          <cell r="D6">
            <v>945</v>
          </cell>
          <cell r="F6">
            <v>1350</v>
          </cell>
        </row>
        <row r="7">
          <cell r="B7">
            <v>865</v>
          </cell>
          <cell r="D7">
            <v>1100</v>
          </cell>
          <cell r="F7">
            <v>1500</v>
          </cell>
        </row>
        <row r="8">
          <cell r="B8">
            <v>950</v>
          </cell>
          <cell r="D8">
            <v>1236</v>
          </cell>
          <cell r="F8">
            <v>1750</v>
          </cell>
        </row>
        <row r="9">
          <cell r="B9">
            <v>1063</v>
          </cell>
          <cell r="D9">
            <v>1381</v>
          </cell>
          <cell r="F9">
            <v>3200</v>
          </cell>
          <cell r="H9">
            <v>4850</v>
          </cell>
        </row>
        <row r="10">
          <cell r="D10">
            <v>2850</v>
          </cell>
          <cell r="F10">
            <v>5532</v>
          </cell>
          <cell r="H10">
            <v>7125</v>
          </cell>
          <cell r="J10">
            <v>10100</v>
          </cell>
        </row>
        <row r="11">
          <cell r="D11">
            <v>3900</v>
          </cell>
          <cell r="F11">
            <v>6500</v>
          </cell>
          <cell r="H11">
            <v>9375</v>
          </cell>
          <cell r="J11">
            <v>11625</v>
          </cell>
        </row>
        <row r="12">
          <cell r="D12">
            <v>5250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co Salvatore" id="{DC6E2567-9205-4392-8A25-D54756CFB050}" userId="S::marco.salvatore@aon.com::7b9b79d6-e42f-4f04-93f0-8aa3da6c1043" providerId="AD"/>
  <person displayName="Elene Bogaert" id="{E8569415-BC79-457A-BD92-DC9BA7A863BD}" userId="S::Elene.Bogaert@beazley.com::7dbe786c-f5c0-43d2-8390-600b3436c7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1-26T12:43:37.73" personId="{DC6E2567-9205-4392-8A25-D54756CFB050}" id="{63A93D44-536E-445E-9CA7-EE5FA671E25C}">
    <text>Competition is at 700.</text>
  </threadedComment>
  <threadedComment ref="L10" dT="2025-05-15T15:47:22.66" personId="{E8569415-BC79-457A-BD92-DC9BA7A863BD}" id="{79A73608-0F43-4133-BE8A-5CFA55BC557C}">
    <text>On referral basis</text>
  </threadedComment>
  <threadedComment ref="N10" dT="2025-05-15T15:46:58.82" personId="{E8569415-BC79-457A-BD92-DC9BA7A863BD}" id="{74052F56-50CB-4578-AF4A-0DA6423DF706}">
    <text>On referral basis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1B2E-48BE-4323-A55C-16197C60C757}">
  <dimension ref="A3:O20"/>
  <sheetViews>
    <sheetView tabSelected="1" workbookViewId="0">
      <selection activeCell="M18" sqref="M18"/>
    </sheetView>
  </sheetViews>
  <sheetFormatPr defaultRowHeight="14.25" x14ac:dyDescent="0.45"/>
  <cols>
    <col min="1" max="1" width="22.265625" bestFit="1" customWidth="1"/>
    <col min="2" max="2" width="9.3984375" bestFit="1" customWidth="1"/>
    <col min="3" max="3" width="13.796875" bestFit="1" customWidth="1"/>
    <col min="4" max="4" width="9.53125" bestFit="1" customWidth="1"/>
    <col min="5" max="5" width="13.796875" bestFit="1" customWidth="1"/>
    <col min="6" max="6" width="17.3984375" bestFit="1" customWidth="1"/>
    <col min="7" max="7" width="13.796875" bestFit="1" customWidth="1"/>
    <col min="8" max="8" width="18.46484375" bestFit="1" customWidth="1"/>
    <col min="9" max="9" width="17.33203125" bestFit="1" customWidth="1"/>
    <col min="10" max="10" width="18.46484375" bestFit="1" customWidth="1"/>
    <col min="11" max="11" width="16.19921875" bestFit="1" customWidth="1"/>
    <col min="12" max="12" width="18.46484375" bestFit="1" customWidth="1"/>
    <col min="13" max="13" width="17.33203125" bestFit="1" customWidth="1"/>
    <col min="14" max="14" width="19.53125" bestFit="1" customWidth="1"/>
    <col min="15" max="15" width="18.9296875" bestFit="1" customWidth="1"/>
  </cols>
  <sheetData>
    <row r="3" spans="1:15" ht="14.65" thickBo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65" thickBot="1" x14ac:dyDescent="0.5">
      <c r="A4" s="2"/>
      <c r="B4" s="3" t="s">
        <v>0</v>
      </c>
      <c r="C4" s="4"/>
      <c r="D4" s="3" t="s">
        <v>1</v>
      </c>
      <c r="E4" s="5"/>
      <c r="F4" s="5" t="s">
        <v>2</v>
      </c>
      <c r="G4" s="4"/>
      <c r="H4" s="3" t="s">
        <v>3</v>
      </c>
      <c r="I4" s="4"/>
      <c r="J4" s="3" t="s">
        <v>4</v>
      </c>
      <c r="K4" s="4"/>
      <c r="L4" s="3" t="s">
        <v>5</v>
      </c>
      <c r="M4" s="4"/>
      <c r="N4" s="3" t="s">
        <v>6</v>
      </c>
      <c r="O4" s="5"/>
    </row>
    <row r="5" spans="1:15" ht="14.65" thickBot="1" x14ac:dyDescent="0.5">
      <c r="A5" s="6" t="s">
        <v>7</v>
      </c>
      <c r="B5" s="6" t="s">
        <v>8</v>
      </c>
      <c r="C5" s="6" t="s">
        <v>9</v>
      </c>
      <c r="D5" s="6" t="s">
        <v>8</v>
      </c>
      <c r="E5" s="6" t="s">
        <v>9</v>
      </c>
      <c r="F5" s="6" t="s">
        <v>8</v>
      </c>
      <c r="G5" s="7" t="s">
        <v>9</v>
      </c>
      <c r="H5" s="7" t="s">
        <v>8</v>
      </c>
      <c r="I5" s="7" t="s">
        <v>9</v>
      </c>
      <c r="J5" s="7" t="s">
        <v>8</v>
      </c>
      <c r="K5" s="7" t="s">
        <v>9</v>
      </c>
      <c r="L5" s="7" t="s">
        <v>8</v>
      </c>
      <c r="M5" s="7" t="s">
        <v>9</v>
      </c>
      <c r="N5" s="8" t="s">
        <v>8</v>
      </c>
      <c r="O5" s="8" t="s">
        <v>9</v>
      </c>
    </row>
    <row r="6" spans="1:15" x14ac:dyDescent="0.45">
      <c r="A6" s="9" t="s">
        <v>10</v>
      </c>
      <c r="B6" s="13">
        <f>'[1]Gross premiums'!B6*0.7/0.7</f>
        <v>750</v>
      </c>
      <c r="C6" s="13">
        <v>1000</v>
      </c>
      <c r="D6" s="13">
        <f>'[1]Gross premiums'!D6*0.7/0.7</f>
        <v>945.00000000000011</v>
      </c>
      <c r="E6" s="13">
        <v>1000</v>
      </c>
      <c r="F6" s="13">
        <f>'[1]Gross premiums'!F6*0.7/0.7</f>
        <v>1350</v>
      </c>
      <c r="G6" s="10">
        <v>1000</v>
      </c>
      <c r="H6" s="10" t="s">
        <v>11</v>
      </c>
      <c r="I6" s="10" t="s">
        <v>11</v>
      </c>
      <c r="J6" s="10" t="s">
        <v>11</v>
      </c>
      <c r="K6" s="10" t="s">
        <v>11</v>
      </c>
      <c r="L6" s="10" t="s">
        <v>11</v>
      </c>
      <c r="M6" s="10" t="s">
        <v>11</v>
      </c>
      <c r="N6" s="10" t="s">
        <v>11</v>
      </c>
      <c r="O6" s="11" t="s">
        <v>11</v>
      </c>
    </row>
    <row r="7" spans="1:15" x14ac:dyDescent="0.45">
      <c r="A7" s="12" t="s">
        <v>12</v>
      </c>
      <c r="B7" s="13">
        <f>'[1]Gross premiums'!B7*0.7/0.7</f>
        <v>865</v>
      </c>
      <c r="C7" s="13">
        <v>1000</v>
      </c>
      <c r="D7" s="13">
        <f>'[1]Gross premiums'!D7*0.7/0.7</f>
        <v>1100</v>
      </c>
      <c r="E7" s="13">
        <v>1000</v>
      </c>
      <c r="F7" s="13">
        <f>'[1]Gross premiums'!F7*0.7/0.7</f>
        <v>1500</v>
      </c>
      <c r="G7" s="13">
        <v>1000</v>
      </c>
      <c r="H7" s="13" t="s">
        <v>11</v>
      </c>
      <c r="I7" s="13" t="s">
        <v>11</v>
      </c>
      <c r="J7" s="13" t="s">
        <v>11</v>
      </c>
      <c r="K7" s="13" t="s">
        <v>11</v>
      </c>
      <c r="L7" s="13" t="s">
        <v>11</v>
      </c>
      <c r="M7" s="13" t="s">
        <v>11</v>
      </c>
      <c r="N7" s="13" t="s">
        <v>11</v>
      </c>
      <c r="O7" s="14" t="s">
        <v>11</v>
      </c>
    </row>
    <row r="8" spans="1:15" x14ac:dyDescent="0.45">
      <c r="A8" s="12" t="s">
        <v>13</v>
      </c>
      <c r="B8" s="13">
        <f>'[1]Gross premiums'!B8*0.7/0.7</f>
        <v>950.00000000000011</v>
      </c>
      <c r="C8" s="13">
        <v>1000</v>
      </c>
      <c r="D8" s="13">
        <f>'[1]Gross premiums'!D8*0.7/0.7</f>
        <v>1236</v>
      </c>
      <c r="E8" s="13">
        <v>1000</v>
      </c>
      <c r="F8" s="13">
        <f>'[1]Gross premiums'!F8*0.7/0.7</f>
        <v>1750</v>
      </c>
      <c r="G8" s="13">
        <v>1000</v>
      </c>
      <c r="H8" s="13" t="s">
        <v>11</v>
      </c>
      <c r="I8" s="15" t="s">
        <v>11</v>
      </c>
      <c r="J8" s="15" t="s">
        <v>11</v>
      </c>
      <c r="K8" s="15" t="s">
        <v>11</v>
      </c>
      <c r="L8" s="15" t="s">
        <v>11</v>
      </c>
      <c r="M8" s="15" t="s">
        <v>11</v>
      </c>
      <c r="N8" s="15" t="s">
        <v>11</v>
      </c>
      <c r="O8" s="16" t="s">
        <v>11</v>
      </c>
    </row>
    <row r="9" spans="1:15" x14ac:dyDescent="0.45">
      <c r="A9" s="12" t="s">
        <v>14</v>
      </c>
      <c r="B9" s="13">
        <f>'[1]Gross premiums'!B9*0.7/0.7</f>
        <v>1063</v>
      </c>
      <c r="C9" s="13">
        <v>1000</v>
      </c>
      <c r="D9" s="13">
        <f>'[1]Gross premiums'!D9*0.7/0.7</f>
        <v>1381</v>
      </c>
      <c r="E9" s="13">
        <v>1500</v>
      </c>
      <c r="F9" s="13">
        <f>'[1]Gross premiums'!F9*0.7/0.7</f>
        <v>3200</v>
      </c>
      <c r="G9" s="13">
        <v>1500</v>
      </c>
      <c r="H9" s="13">
        <f>'[1]Gross premiums'!H9*0.7/0.7</f>
        <v>4850</v>
      </c>
      <c r="I9" s="15">
        <v>2500</v>
      </c>
      <c r="J9" s="17">
        <v>8000</v>
      </c>
      <c r="K9" s="17">
        <v>5000</v>
      </c>
      <c r="L9" s="18" t="s">
        <v>11</v>
      </c>
      <c r="M9" s="18" t="s">
        <v>11</v>
      </c>
      <c r="N9" s="18" t="s">
        <v>11</v>
      </c>
      <c r="O9" s="19" t="s">
        <v>11</v>
      </c>
    </row>
    <row r="10" spans="1:15" ht="14.65" thickBot="1" x14ac:dyDescent="0.5">
      <c r="A10" s="20" t="s">
        <v>15</v>
      </c>
      <c r="B10" s="21" t="s">
        <v>11</v>
      </c>
      <c r="C10" s="21" t="s">
        <v>11</v>
      </c>
      <c r="D10" s="21">
        <f>'[1]Gross premiums'!D10*0.7/0.7</f>
        <v>2850</v>
      </c>
      <c r="E10" s="21">
        <v>2500</v>
      </c>
      <c r="F10" s="21">
        <f>'[1]Gross premiums'!F10*0.7/0.7</f>
        <v>5532</v>
      </c>
      <c r="G10" s="21">
        <v>3500</v>
      </c>
      <c r="H10" s="21">
        <f>'[1]Gross premiums'!H10*0.7/0.7</f>
        <v>7125</v>
      </c>
      <c r="I10" s="21">
        <v>5000</v>
      </c>
      <c r="J10" s="21">
        <f>'[1]Gross premiums'!J10*0.7/0.7</f>
        <v>10100</v>
      </c>
      <c r="K10" s="21">
        <v>5000</v>
      </c>
      <c r="L10" s="21" t="s">
        <v>11</v>
      </c>
      <c r="M10" s="21" t="s">
        <v>11</v>
      </c>
      <c r="N10" s="21" t="s">
        <v>11</v>
      </c>
      <c r="O10" s="21" t="s">
        <v>11</v>
      </c>
    </row>
    <row r="11" spans="1:15" x14ac:dyDescent="0.45">
      <c r="A11" s="22" t="s">
        <v>16</v>
      </c>
      <c r="B11" s="23" t="s">
        <v>11</v>
      </c>
      <c r="C11" s="23" t="s">
        <v>11</v>
      </c>
      <c r="D11" s="23">
        <f>'[1]Gross premiums'!D11*0.75/0.75</f>
        <v>3900</v>
      </c>
      <c r="E11" s="23">
        <v>3500</v>
      </c>
      <c r="F11" s="13">
        <f>'[1]Gross premiums'!F11*0.75/0.75</f>
        <v>6500</v>
      </c>
      <c r="G11" s="13">
        <v>5000</v>
      </c>
      <c r="H11" s="13">
        <f>'[1]Gross premiums'!H11*0.75/0.75</f>
        <v>9375</v>
      </c>
      <c r="I11" s="24">
        <v>10000</v>
      </c>
      <c r="J11" s="23">
        <f>'[1]Gross premiums'!J11*0.75</f>
        <v>8718.75</v>
      </c>
      <c r="K11" s="25">
        <v>7500</v>
      </c>
      <c r="L11" s="30">
        <v>18500</v>
      </c>
      <c r="M11" s="30">
        <v>15000</v>
      </c>
      <c r="N11" s="17">
        <v>20750</v>
      </c>
      <c r="O11" s="17">
        <v>17500</v>
      </c>
    </row>
    <row r="12" spans="1:15" ht="14.65" thickBot="1" x14ac:dyDescent="0.5">
      <c r="A12" s="26" t="s">
        <v>17</v>
      </c>
      <c r="B12" s="27" t="s">
        <v>11</v>
      </c>
      <c r="C12" s="27" t="s">
        <v>11</v>
      </c>
      <c r="D12" s="23">
        <f>'[1]Gross premiums'!D12*0.75/0.75</f>
        <v>5250</v>
      </c>
      <c r="E12" s="27">
        <v>5000</v>
      </c>
      <c r="F12" s="30">
        <v>7467</v>
      </c>
      <c r="G12" s="24">
        <v>10000</v>
      </c>
      <c r="H12" s="30">
        <v>11467</v>
      </c>
      <c r="I12" s="24">
        <v>10000</v>
      </c>
      <c r="J12" s="30">
        <v>14450</v>
      </c>
      <c r="K12" s="30">
        <v>10000</v>
      </c>
      <c r="L12" s="30">
        <v>20500</v>
      </c>
      <c r="M12" s="30">
        <v>15000</v>
      </c>
      <c r="N12" s="30">
        <v>23000</v>
      </c>
      <c r="O12" s="30">
        <v>17500</v>
      </c>
    </row>
    <row r="13" spans="1:15" x14ac:dyDescent="0.45">
      <c r="A13" s="22" t="s">
        <v>18</v>
      </c>
      <c r="B13" s="23" t="s">
        <v>11</v>
      </c>
      <c r="C13" s="23" t="s">
        <v>11</v>
      </c>
      <c r="D13" s="23" t="s">
        <v>11</v>
      </c>
      <c r="E13" s="23" t="s">
        <v>11</v>
      </c>
      <c r="F13" s="30">
        <v>8000</v>
      </c>
      <c r="G13" s="24">
        <v>10000</v>
      </c>
      <c r="H13" s="30">
        <v>13000</v>
      </c>
      <c r="I13" s="30">
        <v>10000</v>
      </c>
      <c r="J13" s="30">
        <v>16450</v>
      </c>
      <c r="K13" s="24">
        <v>12500</v>
      </c>
      <c r="L13" s="30">
        <v>23000</v>
      </c>
      <c r="M13" s="30">
        <v>15000</v>
      </c>
      <c r="N13" s="30">
        <v>28000</v>
      </c>
      <c r="O13" s="30">
        <v>20000</v>
      </c>
    </row>
    <row r="14" spans="1:15" ht="14.65" thickBot="1" x14ac:dyDescent="0.5">
      <c r="A14" s="26" t="s">
        <v>19</v>
      </c>
      <c r="B14" s="27" t="s">
        <v>11</v>
      </c>
      <c r="C14" s="27" t="s">
        <v>11</v>
      </c>
      <c r="D14" s="27" t="s">
        <v>11</v>
      </c>
      <c r="E14" s="27" t="s">
        <v>11</v>
      </c>
      <c r="F14" s="30">
        <v>9000</v>
      </c>
      <c r="G14" s="24">
        <v>10000</v>
      </c>
      <c r="H14" s="30">
        <v>14000</v>
      </c>
      <c r="I14" s="30">
        <v>15000</v>
      </c>
      <c r="J14" s="30">
        <v>17500</v>
      </c>
      <c r="K14" s="24">
        <v>17500</v>
      </c>
      <c r="L14" s="30">
        <v>25000</v>
      </c>
      <c r="M14" s="30">
        <v>20000</v>
      </c>
      <c r="N14" s="30">
        <v>28000</v>
      </c>
      <c r="O14" s="30">
        <v>25000</v>
      </c>
    </row>
    <row r="15" spans="1:15" ht="14.65" thickBot="1" x14ac:dyDescent="0.5">
      <c r="A15" s="26" t="s">
        <v>20</v>
      </c>
      <c r="B15" s="27" t="s">
        <v>11</v>
      </c>
      <c r="C15" s="27" t="s">
        <v>11</v>
      </c>
      <c r="D15" s="27" t="s">
        <v>11</v>
      </c>
      <c r="E15" s="27" t="s">
        <v>11</v>
      </c>
      <c r="F15" s="31">
        <v>10000</v>
      </c>
      <c r="G15" s="32">
        <v>15000</v>
      </c>
      <c r="H15" s="28">
        <v>15000</v>
      </c>
      <c r="I15" s="29">
        <v>20000</v>
      </c>
      <c r="J15" s="28">
        <v>19950</v>
      </c>
      <c r="K15" s="29">
        <v>20000</v>
      </c>
      <c r="L15" s="28">
        <v>26000</v>
      </c>
      <c r="M15" s="29">
        <v>25000</v>
      </c>
      <c r="N15" s="28">
        <v>30200</v>
      </c>
      <c r="O15" s="28">
        <v>25000</v>
      </c>
    </row>
    <row r="18" spans="1:2" x14ac:dyDescent="0.45">
      <c r="A18" s="33" t="s">
        <v>21</v>
      </c>
    </row>
    <row r="19" spans="1:2" x14ac:dyDescent="0.45">
      <c r="A19" s="33" t="s">
        <v>22</v>
      </c>
      <c r="B19" s="34">
        <v>0.3</v>
      </c>
    </row>
    <row r="20" spans="1:2" x14ac:dyDescent="0.45">
      <c r="A20" s="33" t="s">
        <v>23</v>
      </c>
      <c r="B20" s="34">
        <v>0.25</v>
      </c>
    </row>
  </sheetData>
  <mergeCells count="7">
    <mergeCell ref="N4:O4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Beazley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Elene Bogaert</dc:creator>
  <cp:lastModifiedBy>Elene Bogaert</cp:lastModifiedBy>
  <dcterms:created xsi:type="dcterms:W3CDTF">2026-03-16T16:38:26Z</dcterms:created>
  <dcterms:modified xsi:type="dcterms:W3CDTF">2026-03-16T17:29:30Z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2026-03-16T16:38:42Z</vt:lpwstr>
  </property>
  <property fmtid="{D5CDD505-2E9C-101B-9397-08002B2CF9AE}" pid="4" name="MSIP_Label_ed91fd61-bc48-4588-8d11-80a491ed1fbf_Method">
    <vt:lpwstr>Standard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9b5bee20-59b7-42a2-ac23-8606da4e4d79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10, 1, 2, 1</vt:lpwstr>
  </property>
</Properties>
</file>